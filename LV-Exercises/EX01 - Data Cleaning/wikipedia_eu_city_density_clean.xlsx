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5c0b5b856c44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ity Density" sheetId="1" r:id="Rf61338b9172b4a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#,##0"/>
    <x:numFmt numFmtId="202" formatCode="0.00"/>
  </x:numFmts>
  <x:fonts count="6">
    <x:font>
      <x:sz val="11"/>
      <x:name val="Carlito"/>
    </x:font>
    <x:font>
      <x:b/>
      <x:sz val="14"/>
      <x:color rgb="FFFFFF"/>
      <x:name val="Carlito"/>
    </x:font>
    <x:font>
      <x:i/>
      <x:sz val="11"/>
      <x:color rgb="1F4E78"/>
      <x:name val="Carlito"/>
    </x:font>
    <x:font>
      <x:b/>
      <x:sz val="11"/>
      <x:color rgb="FFFFFF"/>
      <x:name val="Carlito"/>
    </x:font>
    <x:font>
      <x:b/>
      <x:sz val="11"/>
      <x:name val="Carlito"/>
    </x:font>
    <x:font>
      <x:sz val="11"/>
      <x:color rgb="666666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2F75B5"/>
      </x:patternFill>
    </x:fill>
  </x:fills>
  <x:borders count="2">
    <x:border/>
    <x:border/>
  </x:borders>
  <x:cellStyleXfs count="1">
    <x:xf numFmtId="0" fontId="0" fillId="0" borderId="0"/>
  </x:cellStyleXfs>
  <x:cellXfs count="5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vertical="center" wrapText="0"/>
    </x:xf>
    <x:xf numFmtId="0" fontId="0" fillId="0" borderId="1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vertical="center" wrapText="0"/>
    </x:xf>
    <x:xf numFmtId="200" fontId="0" fillId="0" borderId="0" xfId="0" applyNumberFormat="1" applyFont="1" applyFill="1" applyBorder="1" applyAlignment="1">
      <x:alignment vertical="center" wrapText="0"/>
    </x:xf>
    <x:xf numFmtId="200" fontId="0" fillId="0" borderId="1" xfId="0" applyNumberFormat="1" applyFont="1" applyFill="1" applyBorder="1" applyAlignment="1">
      <x:alignment vertical="center" wrapText="0"/>
    </x:xf>
    <x:xf numFmtId="201" fontId="0" fillId="0" borderId="0" xfId="0" applyNumberFormat="1" applyFont="1" applyFill="1" applyBorder="1" applyAlignment="1">
      <x:alignment vertical="center" wrapText="0"/>
    </x:xf>
    <x:xf numFmtId="201" fontId="0" fillId="0" borderId="1" xfId="0" applyNumberFormat="1" applyFont="1" applyFill="1" applyBorder="1" applyAlignment="1">
      <x:alignment vertical="center" wrapText="0"/>
    </x:xf>
    <x:xf numFmtId="202" fontId="0" fillId="0" borderId="0" xfId="0" applyNumberFormat="1" applyFont="1" applyFill="1" applyBorder="1" applyAlignment="1">
      <x:alignment vertical="center" wrapText="0"/>
    </x:xf>
    <x:xf numFmtId="202" fontId="0" fillId="0" borderId="1" xfId="0" applyNumberFormat="1" applyFont="1" applyFill="1" applyBorder="1" applyAlignment="1">
      <x:alignment vertical="center" wrapText="0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1603673b1443b7" /><Relationship Type="http://schemas.openxmlformats.org/officeDocument/2006/relationships/theme" Target="/xl/theme/theme1.xml" Id="R2dd2d2a7801945ae" /><Relationship Type="http://schemas.openxmlformats.org/officeDocument/2006/relationships/sharedStrings" Target="/xl/sharedStrings.xml" Id="Rb846d7423e3c4758" /><Relationship Type="http://schemas.openxmlformats.org/officeDocument/2006/relationships/worksheet" Target="/xl/worksheets/sheet1.xml" Id="Rf61338b9172b4a38" /></Relationships>
</file>

<file path=xl/tables/table1.xml><?xml version="1.0" encoding="utf-8"?>
<x:table xmlns:x="http://schemas.openxmlformats.org/spreadsheetml/2006/main" id="1" name="CityDensityTable" displayName="CityDensityTable" ref="A3:H71" headerRowCount="1">
  <x:tableColumns count="8">
    <x:tableColumn id="1" name="Rank"/>
    <x:tableColumn id="2" name="City"/>
    <x:tableColumn id="3" name="Population"/>
    <x:tableColumn id="4" name="Area (km²)"/>
    <x:tableColumn id="5" name="Area (sq mi)"/>
    <x:tableColumn id="6" name="Density / km²"/>
    <x:tableColumn id="7" name="Density / sq mi"/>
    <x:tableColumn id="8" name="Countr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88c2b77de344255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14" hidden="0" customWidth="1"/>
    <x:col min="4" max="4" width="13" hidden="0" customWidth="1"/>
    <x:col min="5" max="5" width="13" hidden="0" customWidth="1"/>
    <x:col min="6" max="6" width="15" hidden="0" customWidth="1"/>
    <x:col min="7" max="7" width="15" hidden="0" customWidth="1"/>
    <x:col min="8" max="8" width="16" hidden="0" customWidth="1"/>
    <x:col min="10" max="10" width="20" hidden="0" customWidth="1"/>
    <x:col min="11" max="11" width="20" hidden="0" customWidth="1"/>
    <x:col min="12" max="12" width="32" hidden="0" customWidth="1"/>
  </x:cols>
  <x:sheetData>
    <x:row r="1" ht="26" customHeight="1">
      <x:c r="A1" s="5" t="str">
        <x:v>European City Density – cleaned dataset</x:v>
      </x:c>
    </x:row>
    <x:row r="2" ht="20" customHeight="1">
      <x:c r="A2" s="13" t="str">
        <x:v>Source file: wikipedia_eu_city_density_clean.csv | Rows: 68</x:v>
      </x:c>
    </x:row>
    <x:row r="3" ht="24" customHeight="1">
      <x:c r="A3" s="22" t="str">
        <x:v>Rank</x:v>
      </x:c>
      <x:c r="B3" s="22" t="str">
        <x:v>City</x:v>
      </x:c>
      <x:c r="C3" s="22" t="str">
        <x:v>Population</x:v>
      </x:c>
      <x:c r="D3" s="22" t="str">
        <x:v>Area (km²)</x:v>
      </x:c>
      <x:c r="E3" s="22" t="str">
        <x:v>Area (sq mi)</x:v>
      </x:c>
      <x:c r="F3" s="22" t="str">
        <x:v>Density / km²</x:v>
      </x:c>
      <x:c r="G3" s="22" t="str">
        <x:v>Density / sq mi</x:v>
      </x:c>
      <x:c r="H3" s="22" t="str">
        <x:v>Country</x:v>
      </x:c>
      <x:c r="J3" s="39" t="str">
        <x:v>Quick Summary</x:v>
      </x:c>
    </x:row>
    <x:row r="4">
      <x:c r="A4" s="32" t="n">
        <x:v>1</x:v>
      </x:c>
      <x:c r="B4" s="29" t="str">
        <x:v>Levallois-Perret</x:v>
      </x:c>
      <x:c r="C4" s="34" t="n">
        <x:v>66082</x:v>
      </x:c>
      <x:c r="D4" s="36" t="n">
        <x:v>2.41</x:v>
      </x:c>
      <x:c r="E4" s="36" t="n">
        <x:v>0.93</x:v>
      </x:c>
      <x:c r="F4" s="34" t="n">
        <x:v>27420</x:v>
      </x:c>
      <x:c r="G4" s="34" t="n">
        <x:v>71056</x:v>
      </x:c>
      <x:c r="H4" s="29" t="str">
        <x:v>France</x:v>
      </x:c>
      <x:c r="J4" s="42" t="str">
        <x:v>Metric</x:v>
      </x:c>
      <x:c r="K4" s="42" t="str">
        <x:v>Value</x:v>
      </x:c>
      <x:c r="L4" s="42" t="str">
        <x:v>Formula</x:v>
      </x:c>
    </x:row>
    <x:row r="5">
      <x:c r="A5" s="32" t="n">
        <x:v>2</x:v>
      </x:c>
      <x:c r="B5" s="29" t="str">
        <x:v>Emperador</x:v>
      </x:c>
      <x:c r="C5" s="34" t="n">
        <x:v>692</x:v>
      </x:c>
      <x:c r="D5" s="36" t="n">
        <x:v>0.03</x:v>
      </x:c>
      <x:c r="E5" s="36" t="n">
        <x:v>0.01</x:v>
      </x:c>
      <x:c r="F5" s="34" t="n">
        <x:v>23067</x:v>
      </x:c>
      <x:c r="G5" s="34" t="n">
        <x:v>69200</x:v>
      </x:c>
      <x:c r="H5" s="29" t="str">
        <x:v>Spain</x:v>
      </x:c>
      <x:c r="J5" s="44" t="str">
        <x:v>Number of cities</x:v>
      </x:c>
      <x:c r="K5" s="46" t="n">
        <x:f>COUNTA(B4:B71)</x:f>
        <x:v>68</x:v>
      </x:c>
      <x:c r="L5" s="50" t="n">
        <x:f>COUNTA(B4:B71)</x:f>
        <x:v>68</x:v>
      </x:c>
    </x:row>
    <x:row r="6">
      <x:c r="A6" s="32" t="n">
        <x:v>3</x:v>
      </x:c>
      <x:c r="B6" s="29" t="str">
        <x:v>L'Hospitalet de Llobregat</x:v>
      </x:c>
      <x:c r="C6" s="34" t="n">
        <x:v>264923</x:v>
      </x:c>
      <x:c r="D6" s="36" t="n">
        <x:v>12.4</x:v>
      </x:c>
      <x:c r="E6" s="36" t="n">
        <x:v>4.8</x:v>
      </x:c>
      <x:c r="F6" s="34" t="n">
        <x:v>21365</x:v>
      </x:c>
      <x:c r="G6" s="34" t="n">
        <x:v>55192</x:v>
      </x:c>
      <x:c r="H6" s="29" t="str">
        <x:v>Spain</x:v>
      </x:c>
      <x:c r="J6" s="44" t="str">
        <x:v>Countries covered</x:v>
      </x:c>
      <x:c r="K6" s="46" t="n">
        <x:f>COUNTA(UNIQUE(H4:H71))</x:f>
        <x:v>18</x:v>
      </x:c>
      <x:c r="L6" s="50" t="n">
        <x:f>COUNTA(UNIQUE(H4:H71))</x:f>
        <x:v>18</x:v>
      </x:c>
    </x:row>
    <x:row r="7">
      <x:c r="A7" s="32" t="n">
        <x:v>4</x:v>
      </x:c>
      <x:c r="B7" s="29" t="str">
        <x:v>Paris</x:v>
      </x:c>
      <x:c r="C7" s="34" t="n">
        <x:v>2203817</x:v>
      </x:c>
      <x:c r="D7" s="36" t="n">
        <x:v>105.4</x:v>
      </x:c>
      <x:c r="E7" s="36" t="n">
        <x:v>40.5</x:v>
      </x:c>
      <x:c r="F7" s="34" t="n">
        <x:v>20909</x:v>
      </x:c>
      <x:c r="G7" s="34" t="n">
        <x:v>54415</x:v>
      </x:c>
      <x:c r="H7" s="29" t="str">
        <x:v>France</x:v>
      </x:c>
      <x:c r="J7" s="44" t="str">
        <x:v>Highest density / km²</x:v>
      </x:c>
      <x:c r="K7" s="46" t="n">
        <x:f>MAX(F4:F71)</x:f>
        <x:v>27420</x:v>
      </x:c>
      <x:c r="L7" s="50" t="n">
        <x:f>MAX(F4:F71)</x:f>
        <x:v>27420</x:v>
      </x:c>
    </x:row>
    <x:row r="8">
      <x:c r="A8" s="32" t="n">
        <x:v>5</x:v>
      </x:c>
      <x:c r="B8" s="29" t="str">
        <x:v>Mislata</x:v>
      </x:c>
      <x:c r="C8" s="34" t="n">
        <x:v>43278</x:v>
      </x:c>
      <x:c r="D8" s="36" t="n">
        <x:v>2.1</x:v>
      </x:c>
      <x:c r="E8" s="36" t="n">
        <x:v>0.81</x:v>
      </x:c>
      <x:c r="F8" s="34" t="n">
        <x:v>20609</x:v>
      </x:c>
      <x:c r="G8" s="34" t="n">
        <x:v>53430</x:v>
      </x:c>
      <x:c r="H8" s="29" t="str">
        <x:v>Spain</x:v>
      </x:c>
      <x:c r="J8" s="44" t="str">
        <x:v>Lowest density / km²</x:v>
      </x:c>
      <x:c r="K8" s="46" t="n">
        <x:f>MIN(F4:F71)</x:f>
        <x:v>3033</x:v>
      </x:c>
      <x:c r="L8" s="50" t="n">
        <x:f>MIN(F4:F71)</x:f>
        <x:v>3033</x:v>
      </x:c>
    </x:row>
    <x:row r="9">
      <x:c r="A9" s="32" t="n">
        <x:v>6</x:v>
      </x:c>
      <x:c r="B9" s="29" t="str">
        <x:v>Benetússer</x:v>
      </x:c>
      <x:c r="C9" s="34" t="n">
        <x:v>14668</x:v>
      </x:c>
      <x:c r="D9" s="36" t="n">
        <x:v>0.76</x:v>
      </x:c>
      <x:c r="E9" s="36" t="n">
        <x:v>0.29</x:v>
      </x:c>
      <x:c r="F9" s="34" t="n">
        <x:v>19300</x:v>
      </x:c>
      <x:c r="G9" s="34" t="n">
        <x:v>50579</x:v>
      </x:c>
      <x:c r="H9" s="29" t="str">
        <x:v>Spain</x:v>
      </x:c>
      <x:c r="J9" s="44" t="str">
        <x:v>Average density / km²</x:v>
      </x:c>
      <x:c r="K9" s="46" t="n">
        <x:f>AVERAGE(F4:F71)</x:f>
        <x:v>8323.411764705883</x:v>
      </x:c>
      <x:c r="L9" s="50" t="n">
        <x:f>AVERAGE(F4:F71)</x:f>
        <x:v>8323.411764705883</x:v>
      </x:c>
    </x:row>
    <x:row r="10">
      <x:c r="A10" s="32" t="n">
        <x:v>7</x:v>
      </x:c>
      <x:c r="B10" s="29" t="str">
        <x:v>Athens</x:v>
      </x:c>
      <x:c r="C10" s="34" t="n">
        <x:v>745514</x:v>
      </x:c>
      <x:c r="D10" s="36" t="n">
        <x:v>38.96</x:v>
      </x:c>
      <x:c r="E10" s="36" t="n">
        <x:v>15.04</x:v>
      </x:c>
      <x:c r="F10" s="34" t="n">
        <x:v>19135</x:v>
      </x:c>
      <x:c r="G10" s="34" t="n">
        <x:v>49569</x:v>
      </x:c>
      <x:c r="H10" s="29" t="str">
        <x:v>Greece</x:v>
      </x:c>
    </x:row>
    <x:row r="11">
      <x:c r="A11" s="32" t="n">
        <x:v>8</x:v>
      </x:c>
      <x:c r="B11" s="29" t="str">
        <x:v>Sliema</x:v>
      </x:c>
      <x:c r="C11" s="34" t="n">
        <x:v>22591</x:v>
      </x:c>
      <x:c r="D11" s="36" t="n">
        <x:v>1.3</x:v>
      </x:c>
      <x:c r="E11" s="36" t="n">
        <x:v>0.5</x:v>
      </x:c>
      <x:c r="F11" s="34" t="n">
        <x:v>17378</x:v>
      </x:c>
      <x:c r="G11" s="34" t="n">
        <x:v>45182</x:v>
      </x:c>
      <x:c r="H11" s="29" t="str">
        <x:v>Malta</x:v>
      </x:c>
    </x:row>
    <x:row r="12">
      <x:c r="A12" s="32" t="n">
        <x:v>9</x:v>
      </x:c>
      <x:c r="B12" s="29" t="str">
        <x:v>Thessaloniki</x:v>
      </x:c>
      <x:c r="C12" s="34" t="n">
        <x:v>325182</x:v>
      </x:c>
      <x:c r="D12" s="36" t="n">
        <x:v>19.31</x:v>
      </x:c>
      <x:c r="E12" s="36" t="n">
        <x:v>7.45</x:v>
      </x:c>
      <x:c r="F12" s="34" t="n">
        <x:v>16840</x:v>
      </x:c>
      <x:c r="G12" s="34" t="n">
        <x:v>43649</x:v>
      </x:c>
      <x:c r="H12" s="29" t="str">
        <x:v>Greece</x:v>
      </x:c>
    </x:row>
    <x:row r="13">
      <x:c r="A13" s="32" t="n">
        <x:v>10</x:v>
      </x:c>
      <x:c r="B13" s="29" t="str">
        <x:v>Barcelona</x:v>
      </x:c>
      <x:c r="C13" s="34" t="n">
        <x:v>1621537</x:v>
      </x:c>
      <x:c r="D13" s="36" t="n">
        <x:v>101.9</x:v>
      </x:c>
      <x:c r="E13" s="36" t="n">
        <x:v>39.3</x:v>
      </x:c>
      <x:c r="F13" s="34" t="n">
        <x:v>15913</x:v>
      </x:c>
      <x:c r="G13" s="34" t="n">
        <x:v>41260</x:v>
      </x:c>
      <x:c r="H13" s="29" t="str">
        <x:v>Spain</x:v>
      </x:c>
    </x:row>
    <x:row r="14">
      <x:c r="A14" s="32" t="n">
        <x:v>11</x:v>
      </x:c>
      <x:c r="B14" s="29" t="str">
        <x:v>Korydallos</x:v>
      </x:c>
      <x:c r="C14" s="34" t="n">
        <x:v>63445</x:v>
      </x:c>
      <x:c r="D14" s="36" t="n">
        <x:v>4.32</x:v>
      </x:c>
      <x:c r="E14" s="36" t="n">
        <x:v>1.67</x:v>
      </x:c>
      <x:c r="F14" s="34" t="n">
        <x:v>14686</x:v>
      </x:c>
      <x:c r="G14" s="34" t="n">
        <x:v>37991</x:v>
      </x:c>
      <x:c r="H14" s="29" t="str">
        <x:v>Greece</x:v>
      </x:c>
    </x:row>
    <x:row r="15">
      <x:c r="A15" s="32" t="n">
        <x:v>12</x:v>
      </x:c>
      <x:c r="B15" s="29" t="str">
        <x:v>Senglea</x:v>
      </x:c>
      <x:c r="C15" s="34" t="n">
        <x:v>2784</x:v>
      </x:c>
      <x:c r="D15" s="36" t="n">
        <x:v>0.2</x:v>
      </x:c>
      <x:c r="E15" s="36" t="n">
        <x:v>0.077</x:v>
      </x:c>
      <x:c r="F15" s="34" t="n">
        <x:v>13920</x:v>
      </x:c>
      <x:c r="G15" s="34" t="n">
        <x:v>36156</x:v>
      </x:c>
      <x:c r="H15" s="29" t="str">
        <x:v>Malta</x:v>
      </x:c>
    </x:row>
    <x:row r="16">
      <x:c r="A16" s="32" t="n">
        <x:v>13</x:v>
      </x:c>
      <x:c r="B16" s="29" t="str">
        <x:v>Nikaia</x:v>
      </x:c>
      <x:c r="C16" s="34" t="n">
        <x:v>89380</x:v>
      </x:c>
      <x:c r="D16" s="36" t="n">
        <x:v>6.65</x:v>
      </x:c>
      <x:c r="E16" s="36" t="n">
        <x:v>2.57</x:v>
      </x:c>
      <x:c r="F16" s="34" t="n">
        <x:v>13441</x:v>
      </x:c>
      <x:c r="G16" s="34" t="n">
        <x:v>34778</x:v>
      </x:c>
      <x:c r="H16" s="29" t="str">
        <x:v>Greece</x:v>
      </x:c>
    </x:row>
    <x:row r="17">
      <x:c r="A17" s="32" t="n">
        <x:v>14</x:v>
      </x:c>
      <x:c r="B17" s="29" t="str">
        <x:v>Odivelas</x:v>
      </x:c>
      <x:c r="C17" s="34" t="n">
        <x:v>59604</x:v>
      </x:c>
      <x:c r="D17" s="36" t="n">
        <x:v>5.02</x:v>
      </x:c>
      <x:c r="E17" s="36" t="n">
        <x:v>2.04</x:v>
      </x:c>
      <x:c r="F17" s="34" t="n">
        <x:v>11873</x:v>
      </x:c>
      <x:c r="G17" s="34" t="n">
        <x:v>29218</x:v>
      </x:c>
      <x:c r="H17" s="29" t="str">
        <x:v>Portugal</x:v>
      </x:c>
    </x:row>
    <x:row r="18">
      <x:c r="A18" s="32" t="n">
        <x:v>15</x:v>
      </x:c>
      <x:c r="B18" s="29" t="str">
        <x:v>Casavatore</x:v>
      </x:c>
      <x:c r="C18" s="34" t="n">
        <x:v>18225</x:v>
      </x:c>
      <x:c r="D18" s="36" t="n">
        <x:v>1.54</x:v>
      </x:c>
      <x:c r="E18" s="36" t="n">
        <x:v>0.63</x:v>
      </x:c>
      <x:c r="F18" s="34" t="n">
        <x:v>11834</x:v>
      </x:c>
      <x:c r="G18" s="34" t="n">
        <x:v>28929</x:v>
      </x:c>
      <x:c r="H18" s="29" t="str">
        <x:v>Italy</x:v>
      </x:c>
    </x:row>
    <x:row r="19">
      <x:c r="A19" s="32" t="n">
        <x:v>16</x:v>
      </x:c>
      <x:c r="B19" s="29" t="str">
        <x:v>Portici</x:v>
      </x:c>
      <x:c r="C19" s="34" t="n">
        <x:v>51901</x:v>
      </x:c>
      <x:c r="D19" s="36" t="n">
        <x:v>4.56</x:v>
      </x:c>
      <x:c r="E19" s="36" t="n">
        <x:v>1.75</x:v>
      </x:c>
      <x:c r="F19" s="34" t="n">
        <x:v>11382</x:v>
      </x:c>
      <x:c r="G19" s="34" t="n">
        <x:v>29658</x:v>
      </x:c>
      <x:c r="H19" s="29" t="str">
        <x:v>Italy</x:v>
      </x:c>
    </x:row>
    <x:row r="20">
      <x:c r="A20" s="32" t="n">
        <x:v>17</x:v>
      </x:c>
      <x:c r="B20" s="29" t="str">
        <x:v>Lyon</x:v>
      </x:c>
      <x:c r="C20" s="34" t="n">
        <x:v>500715</x:v>
      </x:c>
      <x:c r="D20" s="36" t="n">
        <x:v>47.87</x:v>
      </x:c>
      <x:c r="E20" s="36" t="n">
        <x:v>18.48</x:v>
      </x:c>
      <x:c r="F20" s="34" t="n">
        <x:v>10460</x:v>
      </x:c>
      <x:c r="G20" s="34" t="n">
        <x:v>27095</x:v>
      </x:c>
      <x:c r="H20" s="29" t="str">
        <x:v>France</x:v>
      </x:c>
    </x:row>
    <x:row r="21">
      <x:c r="A21" s="32" t="n">
        <x:v>18</x:v>
      </x:c>
      <x:c r="B21" s="29" t="str">
        <x:v>Melito di Napoli</x:v>
      </x:c>
      <x:c r="C21" s="34" t="n">
        <x:v>36334</x:v>
      </x:c>
      <x:c r="D21" s="36" t="n">
        <x:v>3.57</x:v>
      </x:c>
      <x:c r="E21" s="36" t="n">
        <x:v>2.23</x:v>
      </x:c>
      <x:c r="F21" s="34" t="n">
        <x:v>10178</x:v>
      </x:c>
      <x:c r="G21" s="34" t="n">
        <x:v>16293</x:v>
      </x:c>
      <x:c r="H21" s="29" t="str">
        <x:v>Italy</x:v>
      </x:c>
    </x:row>
    <x:row r="22">
      <x:c r="A22" s="32" t="n">
        <x:v>19</x:v>
      </x:c>
      <x:c r="B22" s="29" t="str">
        <x:v>Cádiz</x:v>
      </x:c>
      <x:c r="C22" s="34" t="n">
        <x:v>116979</x:v>
      </x:c>
      <x:c r="D22" s="36" t="n">
        <x:v>12.1</x:v>
      </x:c>
      <x:c r="E22" s="36" t="n">
        <x:v>4.67</x:v>
      </x:c>
      <x:c r="F22" s="34" t="n">
        <x:v>9668</x:v>
      </x:c>
      <x:c r="G22" s="34" t="n">
        <x:v>25049</x:v>
      </x:c>
      <x:c r="H22" s="29" t="str">
        <x:v>Spain</x:v>
      </x:c>
    </x:row>
    <x:row r="23">
      <x:c r="A23" s="32" t="n">
        <x:v>20</x:v>
      </x:c>
      <x:c r="B23" s="29" t="str">
        <x:v>San Giorgio a Cremano</x:v>
      </x:c>
      <x:c r="C23" s="34" t="n">
        <x:v>42096</x:v>
      </x:c>
      <x:c r="D23" s="36" t="n">
        <x:v>4.71</x:v>
      </x:c>
      <x:c r="E23" s="36" t="n">
        <x:v>1.59</x:v>
      </x:c>
      <x:c r="F23" s="34" t="n">
        <x:v>8938</x:v>
      </x:c>
      <x:c r="G23" s="34" t="n">
        <x:v>26475</x:v>
      </x:c>
      <x:c r="H23" s="29" t="str">
        <x:v>Italy</x:v>
      </x:c>
    </x:row>
    <x:row r="24">
      <x:c r="A24" s="32" t="n">
        <x:v>21</x:v>
      </x:c>
      <x:c r="B24" s="29" t="str">
        <x:v>Piraeus</x:v>
      </x:c>
      <x:c r="C24" s="34" t="n">
        <x:v>448997</x:v>
      </x:c>
      <x:c r="D24" s="36" t="n">
        <x:v>50.42</x:v>
      </x:c>
      <x:c r="E24" s="36" t="n">
        <x:v>19.47</x:v>
      </x:c>
      <x:c r="F24" s="34" t="n">
        <x:v>8905</x:v>
      </x:c>
      <x:c r="G24" s="34" t="n">
        <x:v>23061</x:v>
      </x:c>
      <x:c r="H24" s="29" t="str">
        <x:v>Greece</x:v>
      </x:c>
    </x:row>
    <x:row r="25">
      <x:c r="A25" s="32" t="n">
        <x:v>22</x:v>
      </x:c>
      <x:c r="B25" s="29" t="str">
        <x:v>Grenoble</x:v>
      </x:c>
      <x:c r="C25" s="34" t="n">
        <x:v>158240</x:v>
      </x:c>
      <x:c r="D25" s="36" t="n">
        <x:v>18.13</x:v>
      </x:c>
      <x:c r="E25" s="36" t="n">
        <x:v>7</x:v>
      </x:c>
      <x:c r="F25" s="34" t="n">
        <x:v>8728</x:v>
      </x:c>
      <x:c r="G25" s="34" t="n">
        <x:v>22606</x:v>
      </x:c>
      <x:c r="H25" s="29" t="str">
        <x:v>France</x:v>
      </x:c>
    </x:row>
    <x:row r="26">
      <x:c r="A26" s="32" t="n">
        <x:v>23</x:v>
      </x:c>
      <x:c r="B26" s="29" t="str">
        <x:v>Bilbao</x:v>
      </x:c>
      <x:c r="C26" s="34" t="n">
        <x:v>353187</x:v>
      </x:c>
      <x:c r="D26" s="36" t="n">
        <x:v>40.65</x:v>
      </x:c>
      <x:c r="E26" s="36" t="n">
        <x:v>15.7</x:v>
      </x:c>
      <x:c r="F26" s="34" t="n">
        <x:v>8688</x:v>
      </x:c>
      <x:c r="G26" s="34" t="n">
        <x:v>22496</x:v>
      </x:c>
      <x:c r="H26" s="29" t="str">
        <x:v>Spain</x:v>
      </x:c>
    </x:row>
    <x:row r="27">
      <x:c r="A27" s="32" t="n">
        <x:v>24</x:v>
      </x:c>
      <x:c r="B27" s="29" t="str">
        <x:v>Bucharest</x:v>
      </x:c>
      <x:c r="C27" s="34" t="n">
        <x:v>1926334</x:v>
      </x:c>
      <x:c r="D27" s="36" t="n">
        <x:v>228</x:v>
      </x:c>
      <x:c r="E27" s="36" t="n">
        <x:v>88.03</x:v>
      </x:c>
      <x:c r="F27" s="34" t="n">
        <x:v>8449</x:v>
      </x:c>
      <x:c r="G27" s="34" t="n">
        <x:v>21883</x:v>
      </x:c>
      <x:c r="H27" s="29" t="str">
        <x:v>Romania</x:v>
      </x:c>
    </x:row>
    <x:row r="28">
      <x:c r="A28" s="32" t="n">
        <x:v>25</x:v>
      </x:c>
      <x:c r="B28" s="29" t="str">
        <x:v>Naples</x:v>
      </x:c>
      <x:c r="C28" s="34" t="n">
        <x:v>913704</x:v>
      </x:c>
      <x:c r="D28" s="36" t="n">
        <x:v>116.72</x:v>
      </x:c>
      <x:c r="E28" s="36" t="n">
        <x:v>45.28</x:v>
      </x:c>
      <x:c r="F28" s="34" t="n">
        <x:v>7828</x:v>
      </x:c>
      <x:c r="G28" s="34" t="n">
        <x:v>20179</x:v>
      </x:c>
      <x:c r="H28" s="29" t="str">
        <x:v>Italy</x:v>
      </x:c>
    </x:row>
    <x:row r="29">
      <x:c r="A29" s="32" t="n">
        <x:v>26</x:v>
      </x:c>
      <x:c r="B29" s="29" t="str">
        <x:v>Agualva-Cacém</x:v>
      </x:c>
      <x:c r="C29" s="34" t="n">
        <x:v>81020</x:v>
      </x:c>
      <x:c r="D29" s="36" t="n">
        <x:v>10.42</x:v>
      </x:c>
      <x:c r="E29" s="36" t="n">
        <x:v>3.9</x:v>
      </x:c>
      <x:c r="F29" s="34" t="n">
        <x:v>7775</x:v>
      </x:c>
      <x:c r="G29" s="34" t="n">
        <x:v>20774</x:v>
      </x:c>
      <x:c r="H29" s="29" t="str">
        <x:v>Portugal</x:v>
      </x:c>
    </x:row>
    <x:row r="30">
      <x:c r="A30" s="32" t="n">
        <x:v>27</x:v>
      </x:c>
      <x:c r="B30" s="29" t="str">
        <x:v>Milan</x:v>
      </x:c>
      <x:c r="C30" s="34" t="n">
        <x:v>1371499</x:v>
      </x:c>
      <x:c r="D30" s="36" t="n">
        <x:v>181.64</x:v>
      </x:c>
      <x:c r="E30" s="36" t="n">
        <x:v>70.18</x:v>
      </x:c>
      <x:c r="F30" s="34" t="n">
        <x:v>7551</x:v>
      </x:c>
      <x:c r="G30" s="34" t="n">
        <x:v>19543</x:v>
      </x:c>
      <x:c r="H30" s="29" t="str">
        <x:v>Italy</x:v>
      </x:c>
    </x:row>
    <x:row r="31">
      <x:c r="A31" s="32" t="n">
        <x:v>28</x:v>
      </x:c>
      <x:c r="B31" s="29" t="str">
        <x:v>Brussels</x:v>
      </x:c>
      <x:c r="C31" s="34" t="n">
        <x:v>1212352</x:v>
      </x:c>
      <x:c r="D31" s="36" t="n">
        <x:v>162.4</x:v>
      </x:c>
      <x:c r="E31" s="36" t="n">
        <x:v>62.3</x:v>
      </x:c>
      <x:c r="F31" s="34" t="n">
        <x:v>7465</x:v>
      </x:c>
      <x:c r="G31" s="34" t="n">
        <x:v>19460</x:v>
      </x:c>
      <x:c r="H31" s="29" t="str">
        <x:v>Belgium</x:v>
      </x:c>
    </x:row>
    <x:row r="32">
      <x:c r="A32" s="32" t="n">
        <x:v>29</x:v>
      </x:c>
      <x:c r="B32" s="29" t="str">
        <x:v>Bresso</x:v>
      </x:c>
      <x:c r="C32" s="34" t="n">
        <x:v>26282</x:v>
      </x:c>
      <x:c r="D32" s="36" t="n">
        <x:v>3.54</x:v>
      </x:c>
      <x:c r="E32" s="36" t="n">
        <x:v>2.21</x:v>
      </x:c>
      <x:c r="F32" s="34" t="n">
        <x:v>7424</x:v>
      </x:c>
      <x:c r="G32" s="34" t="n">
        <x:v>11892</x:v>
      </x:c>
      <x:c r="H32" s="29" t="str">
        <x:v>Italy</x:v>
      </x:c>
    </x:row>
    <x:row r="33">
      <x:c r="A33" s="32" t="n">
        <x:v>30</x:v>
      </x:c>
      <x:c r="B33" s="29" t="str">
        <x:v>Fuengirola</x:v>
      </x:c>
      <x:c r="C33" s="34" t="n">
        <x:v>75396</x:v>
      </x:c>
      <x:c r="D33" s="36" t="n">
        <x:v>10.2</x:v>
      </x:c>
      <x:c r="E33" s="36" t="n">
        <x:v>3.9</x:v>
      </x:c>
      <x:c r="F33" s="34" t="n">
        <x:v>7392</x:v>
      </x:c>
      <x:c r="G33" s="34" t="n">
        <x:v>19332</x:v>
      </x:c>
      <x:c r="H33" s="29" t="str">
        <x:v>Spain</x:v>
      </x:c>
    </x:row>
    <x:row r="34">
      <x:c r="A34" s="32" t="n">
        <x:v>31</x:v>
      </x:c>
      <x:c r="B34" s="29" t="str">
        <x:v>Copenhagen</x:v>
      </x:c>
      <x:c r="C34" s="34" t="n">
        <x:v>671673</x:v>
      </x:c>
      <x:c r="D34" s="36" t="n">
        <x:v>92.4</x:v>
      </x:c>
      <x:c r="E34" s="36" t="n">
        <x:v>35.68</x:v>
      </x:c>
      <x:c r="F34" s="34" t="n">
        <x:v>7269</x:v>
      </x:c>
      <x:c r="G34" s="34" t="n">
        <x:v>18825</x:v>
      </x:c>
      <x:c r="H34" s="29" t="str">
        <x:v>Denmark</x:v>
      </x:c>
    </x:row>
    <x:row r="35">
      <x:c r="A35" s="32" t="n">
        <x:v>32</x:v>
      </x:c>
      <x:c r="B35" s="29" t="str">
        <x:v>Porto</x:v>
      </x:c>
      <x:c r="C35" s="34" t="n">
        <x:v>287591</x:v>
      </x:c>
      <x:c r="D35" s="36" t="n">
        <x:v>41.42</x:v>
      </x:c>
      <x:c r="E35" s="36" t="n">
        <x:v>15.99</x:v>
      </x:c>
      <x:c r="F35" s="34" t="n">
        <x:v>6943</x:v>
      </x:c>
      <x:c r="G35" s="34" t="n">
        <x:v>17986</x:v>
      </x:c>
      <x:c r="H35" s="29" t="str">
        <x:v>Portugal</x:v>
      </x:c>
    </x:row>
    <x:row r="36">
      <x:c r="A36" s="32" t="n">
        <x:v>33</x:v>
      </x:c>
      <x:c r="B36" s="29" t="str">
        <x:v>Turin</x:v>
      </x:c>
      <x:c r="C36" s="34" t="n">
        <x:v>851199</x:v>
      </x:c>
      <x:c r="D36" s="36" t="n">
        <x:v>130.11</x:v>
      </x:c>
      <x:c r="E36" s="36" t="n">
        <x:v>50.26</x:v>
      </x:c>
      <x:c r="F36" s="34" t="n">
        <x:v>6542</x:v>
      </x:c>
      <x:c r="G36" s="34" t="n">
        <x:v>16936</x:v>
      </x:c>
      <x:c r="H36" s="29" t="str">
        <x:v>Italy</x:v>
      </x:c>
    </x:row>
    <x:row r="37">
      <x:c r="A37" s="32" t="n">
        <x:v>34</x:v>
      </x:c>
      <x:c r="B37" s="29" t="str">
        <x:v>A Coruña</x:v>
      </x:c>
      <x:c r="C37" s="34" t="n">
        <x:v>246056</x:v>
      </x:c>
      <x:c r="D37" s="36" t="n">
        <x:v>37.83</x:v>
      </x:c>
      <x:c r="E37" s="36" t="n">
        <x:v>14.61</x:v>
      </x:c>
      <x:c r="F37" s="34" t="n">
        <x:v>6504</x:v>
      </x:c>
      <x:c r="G37" s="34" t="n">
        <x:v>16842</x:v>
      </x:c>
      <x:c r="H37" s="29" t="str">
        <x:v>Spain</x:v>
      </x:c>
    </x:row>
    <x:row r="38">
      <x:c r="A38" s="32" t="n">
        <x:v>35</x:v>
      </x:c>
      <x:c r="B38" s="29" t="str">
        <x:v>Valencia</x:v>
      </x:c>
      <x:c r="C38" s="34" t="n">
        <x:v>780834</x:v>
      </x:c>
      <x:c r="D38" s="36" t="n">
        <x:v>134.65</x:v>
      </x:c>
      <x:c r="E38" s="36" t="n">
        <x:v>51.99</x:v>
      </x:c>
      <x:c r="F38" s="34" t="n">
        <x:v>5799</x:v>
      </x:c>
      <x:c r="G38" s="34" t="n">
        <x:v>15019</x:v>
      </x:c>
      <x:c r="H38" s="29" t="str">
        <x:v>Spain</x:v>
      </x:c>
    </x:row>
    <x:row r="39">
      <x:c r="A39" s="32" t="n">
        <x:v>36</x:v>
      </x:c>
      <x:c r="B39" s="29" t="str">
        <x:v>Amsterdam</x:v>
      </x:c>
      <x:c r="C39" s="34" t="n">
        <x:v>931748</x:v>
      </x:c>
      <x:c r="D39" s="36" t="n">
        <x:v>165.76</x:v>
      </x:c>
      <x:c r="E39" s="36" t="n">
        <x:v>64</x:v>
      </x:c>
      <x:c r="F39" s="34" t="n">
        <x:v>5621</x:v>
      </x:c>
      <x:c r="G39" s="34" t="n">
        <x:v>14559</x:v>
      </x:c>
      <x:c r="H39" s="29" t="str">
        <x:v>Netherlands</x:v>
      </x:c>
    </x:row>
    <x:row r="40">
      <x:c r="A40" s="32" t="n">
        <x:v>37</x:v>
      </x:c>
      <x:c r="B40" s="29" t="str">
        <x:v>The Hague</x:v>
      </x:c>
      <x:c r="C40" s="34" t="n">
        <x:v>527748</x:v>
      </x:c>
      <x:c r="D40" s="36" t="n">
        <x:v>98.12</x:v>
      </x:c>
      <x:c r="E40" s="36" t="n">
        <x:v>37.88</x:v>
      </x:c>
      <x:c r="F40" s="34" t="n">
        <x:v>5379</x:v>
      </x:c>
      <x:c r="G40" s="34" t="n">
        <x:v>13932</x:v>
      </x:c>
      <x:c r="H40" s="29" t="str">
        <x:v>Netherlands</x:v>
      </x:c>
    </x:row>
    <x:row r="41">
      <x:c r="A41" s="32" t="n">
        <x:v>38</x:v>
      </x:c>
      <x:c r="B41" s="29" t="str">
        <x:v>Madrid</x:v>
      </x:c>
      <x:c r="C41" s="34" t="n">
        <x:v>3141991</x:v>
      </x:c>
      <x:c r="D41" s="36" t="n">
        <x:v>604.3</x:v>
      </x:c>
      <x:c r="E41" s="36" t="n">
        <x:v>233.3</x:v>
      </x:c>
      <x:c r="F41" s="34" t="n">
        <x:v>5199</x:v>
      </x:c>
      <x:c r="G41" s="34" t="n">
        <x:v>13468</x:v>
      </x:c>
      <x:c r="H41" s="29" t="str">
        <x:v>Spain</x:v>
      </x:c>
    </x:row>
    <x:row r="42">
      <x:c r="A42" s="32" t="n">
        <x:v>39</x:v>
      </x:c>
      <x:c r="B42" s="29" t="str">
        <x:v>Bordeaux</x:v>
      </x:c>
      <x:c r="C42" s="34" t="n">
        <x:v>250776</x:v>
      </x:c>
      <x:c r="D42" s="36" t="n">
        <x:v>49.36</x:v>
      </x:c>
      <x:c r="E42" s="36" t="n">
        <x:v>19.06</x:v>
      </x:c>
      <x:c r="F42" s="34" t="n">
        <x:v>5081</x:v>
      </x:c>
      <x:c r="G42" s="34" t="n">
        <x:v>13157</x:v>
      </x:c>
      <x:c r="H42" s="29" t="str">
        <x:v>France</x:v>
      </x:c>
    </x:row>
    <x:row r="43">
      <x:c r="A43" s="32" t="n">
        <x:v>40</x:v>
      </x:c>
      <x:c r="B43" s="29" t="str">
        <x:v>Lisbon</x:v>
      </x:c>
      <x:c r="C43" s="34" t="n">
        <x:v>505526</x:v>
      </x:c>
      <x:c r="D43" s="36" t="n">
        <x:v>100.05</x:v>
      </x:c>
      <x:c r="E43" s="36" t="n">
        <x:v>39</x:v>
      </x:c>
      <x:c r="F43" s="34" t="n">
        <x:v>5053</x:v>
      </x:c>
      <x:c r="G43" s="34" t="n">
        <x:v>12962</x:v>
      </x:c>
      <x:c r="H43" s="29" t="str">
        <x:v>Portugal</x:v>
      </x:c>
    </x:row>
    <x:row r="44">
      <x:c r="A44" s="32" t="n">
        <x:v>41</x:v>
      </x:c>
      <x:c r="B44" s="29" t="str">
        <x:v>Seville</x:v>
      </x:c>
      <x:c r="C44" s="34" t="n">
        <x:v>703021</x:v>
      </x:c>
      <x:c r="D44" s="36" t="n">
        <x:v>140</x:v>
      </x:c>
      <x:c r="E44" s="36" t="n">
        <x:v>54.05</x:v>
      </x:c>
      <x:c r="F44" s="34" t="n">
        <x:v>5022</x:v>
      </x:c>
      <x:c r="G44" s="34" t="n">
        <x:v>13007</x:v>
      </x:c>
      <x:c r="H44" s="29" t="str">
        <x:v>Spain</x:v>
      </x:c>
    </x:row>
    <x:row r="45">
      <x:c r="A45" s="32" t="n">
        <x:v>42</x:v>
      </x:c>
      <x:c r="B45" s="29" t="str">
        <x:v>Stockholm</x:v>
      </x:c>
      <x:c r="C45" s="34" t="n">
        <x:v>942370</x:v>
      </x:c>
      <x:c r="D45" s="36" t="n">
        <x:v>188</x:v>
      </x:c>
      <x:c r="E45" s="36" t="n">
        <x:v>73</x:v>
      </x:c>
      <x:c r="F45" s="34" t="n">
        <x:v>5013</x:v>
      </x:c>
      <x:c r="G45" s="34" t="n">
        <x:v>12909</x:v>
      </x:c>
      <x:c r="H45" s="29" t="str">
        <x:v>Sweden</x:v>
      </x:c>
    </x:row>
    <x:row r="46">
      <x:c r="A46" s="32" t="n">
        <x:v>43</x:v>
      </x:c>
      <x:c r="B46" s="29" t="str">
        <x:v>Montpellier</x:v>
      </x:c>
      <x:c r="C46" s="34" t="n">
        <x:v>275318</x:v>
      </x:c>
      <x:c r="D46" s="36" t="n">
        <x:v>56.88</x:v>
      </x:c>
      <x:c r="E46" s="36" t="n">
        <x:v>21.96</x:v>
      </x:c>
      <x:c r="F46" s="34" t="n">
        <x:v>4840</x:v>
      </x:c>
      <x:c r="G46" s="34" t="n">
        <x:v>12537</x:v>
      </x:c>
      <x:c r="H46" s="29" t="str">
        <x:v>France</x:v>
      </x:c>
    </x:row>
    <x:row r="47">
      <x:c r="A47" s="32" t="n">
        <x:v>44</x:v>
      </x:c>
      <x:c r="B47" s="29" t="str">
        <x:v>Nice</x:v>
      </x:c>
      <x:c r="C47" s="34" t="n">
        <x:v>343895</x:v>
      </x:c>
      <x:c r="D47" s="36" t="n">
        <x:v>71.92</x:v>
      </x:c>
      <x:c r="E47" s="36" t="n">
        <x:v>27.77</x:v>
      </x:c>
      <x:c r="F47" s="34" t="n">
        <x:v>4782</x:v>
      </x:c>
      <x:c r="G47" s="34" t="n">
        <x:v>12384</x:v>
      </x:c>
      <x:c r="H47" s="29" t="str">
        <x:v>France</x:v>
      </x:c>
    </x:row>
    <x:row r="48">
      <x:c r="A48" s="32" t="n">
        <x:v>45</x:v>
      </x:c>
      <x:c r="B48" s="29" t="str">
        <x:v>Dublin</x:v>
      </x:c>
      <x:c r="C48" s="34" t="n">
        <x:v>553860</x:v>
      </x:c>
      <x:c r="D48" s="36" t="n">
        <x:v>116.395</x:v>
      </x:c>
      <x:c r="E48" s="36" t="n">
        <x:v>44.94</x:v>
      </x:c>
      <x:c r="F48" s="34" t="n">
        <x:v>4758</x:v>
      </x:c>
      <x:c r="G48" s="34" t="n">
        <x:v>12324</x:v>
      </x:c>
      <x:c r="H48" s="29" t="str">
        <x:v>Ireland</x:v>
      </x:c>
    </x:row>
    <x:row r="49">
      <x:c r="A49" s="32" t="n">
        <x:v>46</x:v>
      </x:c>
      <x:c r="B49" s="29" t="str">
        <x:v>Munich</x:v>
      </x:c>
      <x:c r="C49" s="34" t="n">
        <x:v>1471508</x:v>
      </x:c>
      <x:c r="D49" s="36" t="n">
        <x:v>310.7</x:v>
      </x:c>
      <x:c r="E49" s="36" t="n">
        <x:v>119.96</x:v>
      </x:c>
      <x:c r="F49" s="34" t="n">
        <x:v>4736</x:v>
      </x:c>
      <x:c r="G49" s="34" t="n">
        <x:v>12267</x:v>
      </x:c>
      <x:c r="H49" s="29" t="str">
        <x:v>Germany</x:v>
      </x:c>
    </x:row>
    <x:row r="50">
      <x:c r="A50" s="32" t="n">
        <x:v>47</x:v>
      </x:c>
      <x:c r="B50" s="29" t="str">
        <x:v>Vienna</x:v>
      </x:c>
      <x:c r="C50" s="34" t="n">
        <x:v>1889083</x:v>
      </x:c>
      <x:c r="D50" s="36" t="n">
        <x:v>414.65</x:v>
      </x:c>
      <x:c r="E50" s="36" t="n">
        <x:v>160.1</x:v>
      </x:c>
      <x:c r="F50" s="34" t="n">
        <x:v>4556</x:v>
      </x:c>
      <x:c r="G50" s="34" t="n">
        <x:v>11799</x:v>
      </x:c>
      <x:c r="H50" s="29" t="str">
        <x:v>Austria</x:v>
      </x:c>
    </x:row>
    <x:row r="51">
      <x:c r="A51" s="32" t="n">
        <x:v>48</x:v>
      </x:c>
      <x:c r="B51" s="29" t="str">
        <x:v>Ottobrunn</x:v>
      </x:c>
      <x:c r="C51" s="34" t="n">
        <x:v>21542</x:v>
      </x:c>
      <x:c r="D51" s="36" t="n">
        <x:v>5.23</x:v>
      </x:c>
      <x:c r="E51" s="36" t="n">
        <x:v>2.02</x:v>
      </x:c>
      <x:c r="F51" s="34" t="n">
        <x:v>4119</x:v>
      </x:c>
      <x:c r="G51" s="34" t="n">
        <x:v>10664</x:v>
      </x:c>
      <x:c r="H51" s="29" t="str">
        <x:v>Germany</x:v>
      </x:c>
    </x:row>
    <x:row r="52">
      <x:c r="A52" s="32" t="n">
        <x:v>49</x:v>
      </x:c>
      <x:c r="B52" s="29" t="str">
        <x:v>Malmö</x:v>
      </x:c>
      <x:c r="C52" s="34" t="n">
        <x:v>316588</x:v>
      </x:c>
      <x:c r="D52" s="36" t="n">
        <x:v>77.0605</x:v>
      </x:c>
      <x:c r="E52" s="36" t="n">
        <x:v>29.75</x:v>
      </x:c>
      <x:c r="F52" s="34" t="n">
        <x:v>4108</x:v>
      </x:c>
      <x:c r="G52" s="34" t="n">
        <x:v>10642</x:v>
      </x:c>
      <x:c r="H52" s="29" t="str">
        <x:v>Sweden</x:v>
      </x:c>
    </x:row>
    <x:row r="53">
      <x:c r="A53" s="32" t="n">
        <x:v>50</x:v>
      </x:c>
      <x:c r="B53" s="29" t="str">
        <x:v>Berlin</x:v>
      </x:c>
      <x:c r="C53" s="34" t="n">
        <x:v>3644826</x:v>
      </x:c>
      <x:c r="D53" s="36" t="n">
        <x:v>891.12</x:v>
      </x:c>
      <x:c r="E53" s="36" t="n">
        <x:v>344.06</x:v>
      </x:c>
      <x:c r="F53" s="34" t="n">
        <x:v>4090</x:v>
      </x:c>
      <x:c r="G53" s="34" t="n">
        <x:v>10594</x:v>
      </x:c>
      <x:c r="H53" s="29" t="str">
        <x:v>Germany</x:v>
      </x:c>
    </x:row>
    <x:row r="54">
      <x:c r="A54" s="32" t="n">
        <x:v>51</x:v>
      </x:c>
      <x:c r="B54" s="29" t="str">
        <x:v>Toulouse</x:v>
      </x:c>
      <x:c r="C54" s="34" t="n">
        <x:v>479638</x:v>
      </x:c>
      <x:c r="D54" s="36" t="n">
        <x:v>118.3</x:v>
      </x:c>
      <x:c r="E54" s="36" t="n">
        <x:v>45.68</x:v>
      </x:c>
      <x:c r="F54" s="34" t="n">
        <x:v>4054</x:v>
      </x:c>
      <x:c r="G54" s="34" t="n">
        <x:v>10500</x:v>
      </x:c>
      <x:c r="H54" s="29" t="str">
        <x:v>France</x:v>
      </x:c>
    </x:row>
    <x:row r="55">
      <x:c r="A55" s="32" t="n">
        <x:v>52</x:v>
      </x:c>
      <x:c r="B55" s="29" t="str">
        <x:v>Linköping</x:v>
      </x:c>
      <x:c r="C55" s="34" t="n">
        <x:v>166673</x:v>
      </x:c>
      <x:c r="D55" s="36" t="n">
        <x:v>42.16</x:v>
      </x:c>
      <x:c r="E55" s="36" t="n">
        <x:v>16.28</x:v>
      </x:c>
      <x:c r="F55" s="34" t="n">
        <x:v>3953</x:v>
      </x:c>
      <x:c r="G55" s="34" t="n">
        <x:v>10238</x:v>
      </x:c>
      <x:c r="H55" s="29" t="str">
        <x:v>Sweden</x:v>
      </x:c>
    </x:row>
    <x:row r="56">
      <x:c r="A56" s="32" t="n">
        <x:v>53</x:v>
      </x:c>
      <x:c r="B56" s="29" t="str">
        <x:v>Palermo</x:v>
      </x:c>
      <x:c r="C56" s="34" t="n">
        <x:v>630427</x:v>
      </x:c>
      <x:c r="D56" s="36" t="n">
        <x:v>160.15</x:v>
      </x:c>
      <x:c r="E56" s="36" t="n">
        <x:v>62</x:v>
      </x:c>
      <x:c r="F56" s="34" t="n">
        <x:v>3936</x:v>
      </x:c>
      <x:c r="G56" s="34" t="n">
        <x:v>10168</x:v>
      </x:c>
      <x:c r="H56" s="29" t="str">
        <x:v>Italy</x:v>
      </x:c>
    </x:row>
    <x:row r="57">
      <x:c r="A57" s="32" t="n">
        <x:v>54</x:v>
      </x:c>
      <x:c r="B57" s="29" t="str">
        <x:v>Świętochłowice</x:v>
      </x:c>
      <x:c r="C57" s="34" t="n">
        <x:v>50012</x:v>
      </x:c>
      <x:c r="D57" s="36" t="n">
        <x:v>13.31</x:v>
      </x:c>
      <x:c r="E57" s="36" t="n">
        <x:v>5.14</x:v>
      </x:c>
      <x:c r="F57" s="34" t="n">
        <x:v>3757</x:v>
      </x:c>
      <x:c r="G57" s="34" t="n">
        <x:v>9730</x:v>
      </x:c>
      <x:c r="H57" s="29" t="str">
        <x:v>Poland</x:v>
      </x:c>
    </x:row>
    <x:row r="58">
      <x:c r="A58" s="32" t="n">
        <x:v>55</x:v>
      </x:c>
      <x:c r="B58" s="29" t="str">
        <x:v>Uppsala</x:v>
      </x:c>
      <x:c r="C58" s="34" t="n">
        <x:v>177074</x:v>
      </x:c>
      <x:c r="D58" s="36" t="n">
        <x:v>48.77</x:v>
      </x:c>
      <x:c r="E58" s="36" t="n">
        <x:v>18.83</x:v>
      </x:c>
      <x:c r="F58" s="34" t="n">
        <x:v>3631</x:v>
      </x:c>
      <x:c r="G58" s="34" t="n">
        <x:v>9404</x:v>
      </x:c>
      <x:c r="H58" s="29" t="str">
        <x:v>Sweden</x:v>
      </x:c>
    </x:row>
    <x:row r="59">
      <x:c r="A59" s="32" t="n">
        <x:v>56</x:v>
      </x:c>
      <x:c r="B59" s="29" t="str">
        <x:v>Lund</x:v>
      </x:c>
      <x:c r="C59" s="34" t="n">
        <x:v>94393</x:v>
      </x:c>
      <x:c r="D59" s="36" t="n">
        <x:v>26.37</x:v>
      </x:c>
      <x:c r="E59" s="36" t="n">
        <x:v>10.18</x:v>
      </x:c>
      <x:c r="F59" s="34" t="n">
        <x:v>3580</x:v>
      </x:c>
      <x:c r="G59" s="34" t="n">
        <x:v>9272</x:v>
      </x:c>
      <x:c r="H59" s="29" t="str">
        <x:v>Sweden</x:v>
      </x:c>
    </x:row>
    <x:row r="60">
      <x:c r="A60" s="32" t="n">
        <x:v>57</x:v>
      </x:c>
      <x:c r="B60" s="29" t="str">
        <x:v>Saint-Nicolas</x:v>
      </x:c>
      <x:c r="C60" s="34" t="n">
        <x:v>24251</x:v>
      </x:c>
      <x:c r="D60" s="36" t="n">
        <x:v>6.89</x:v>
      </x:c>
      <x:c r="E60" s="36" t="n">
        <x:v>2.66</x:v>
      </x:c>
      <x:c r="F60" s="34" t="n">
        <x:v>3520</x:v>
      </x:c>
      <x:c r="G60" s="34" t="n">
        <x:v>9117</x:v>
      </x:c>
      <x:c r="H60" s="29" t="str">
        <x:v>Belgium</x:v>
      </x:c>
    </x:row>
    <x:row r="61">
      <x:c r="A61" s="32" t="n">
        <x:v>58</x:v>
      </x:c>
      <x:c r="B61" s="29" t="str">
        <x:v>Pescara</x:v>
      </x:c>
      <x:c r="C61" s="34" t="n">
        <x:v>118461</x:v>
      </x:c>
      <x:c r="D61" s="36" t="n">
        <x:v>34.39</x:v>
      </x:c>
      <x:c r="E61" s="36" t="n">
        <x:v>13.27</x:v>
      </x:c>
      <x:c r="F61" s="34" t="n">
        <x:v>3445</x:v>
      </x:c>
      <x:c r="G61" s="34" t="n">
        <x:v>8927</x:v>
      </x:c>
      <x:c r="H61" s="29" t="str">
        <x:v>Italy</x:v>
      </x:c>
    </x:row>
    <x:row r="62">
      <x:c r="A62" s="32" t="n">
        <x:v>59</x:v>
      </x:c>
      <x:c r="B62" s="29" t="str">
        <x:v>Warsaw</x:v>
      </x:c>
      <x:c r="C62" s="34" t="n">
        <x:v>1777972</x:v>
      </x:c>
      <x:c r="D62" s="36" t="n">
        <x:v>517.24</x:v>
      </x:c>
      <x:c r="E62" s="36" t="n">
        <x:v>199.71</x:v>
      </x:c>
      <x:c r="F62" s="34" t="n">
        <x:v>3437</x:v>
      </x:c>
      <x:c r="G62" s="34" t="n">
        <x:v>8903</x:v>
      </x:c>
      <x:c r="H62" s="29" t="str">
        <x:v>Poland</x:v>
      </x:c>
    </x:row>
    <x:row r="63">
      <x:c r="A63" s="32" t="n">
        <x:v>60</x:v>
      </x:c>
      <x:c r="B63" s="29" t="str">
        <x:v>Plovdiv</x:v>
      </x:c>
      <x:c r="C63" s="34" t="n">
        <x:v>346893</x:v>
      </x:c>
      <x:c r="D63" s="36" t="n">
        <x:v>101.98</x:v>
      </x:c>
      <x:c r="E63" s="36" t="n">
        <x:v>39.37</x:v>
      </x:c>
      <x:c r="F63" s="34" t="n">
        <x:v>3402</x:v>
      </x:c>
      <x:c r="G63" s="34" t="n">
        <x:v>8811</x:v>
      </x:c>
      <x:c r="H63" s="29" t="str">
        <x:v>Bulgaria</x:v>
      </x:c>
    </x:row>
    <x:row r="64">
      <x:c r="A64" s="32" t="n">
        <x:v>61</x:v>
      </x:c>
      <x:c r="B64" s="29" t="str">
        <x:v>Mortsel</x:v>
      </x:c>
      <x:c r="C64" s="34" t="n">
        <x:v>25824</x:v>
      </x:c>
      <x:c r="D64" s="36" t="n">
        <x:v>7.7</x:v>
      </x:c>
      <x:c r="E64" s="36" t="n">
        <x:v>2.97</x:v>
      </x:c>
      <x:c r="F64" s="34" t="n">
        <x:v>3354</x:v>
      </x:c>
      <x:c r="G64" s="34" t="n">
        <x:v>8695</x:v>
      </x:c>
      <x:c r="H64" s="29" t="str">
        <x:v>Belgium</x:v>
      </x:c>
    </x:row>
    <x:row r="65">
      <x:c r="A65" s="32" t="n">
        <x:v>62</x:v>
      </x:c>
      <x:c r="B65" s="29" t="str">
        <x:v>Budapest</x:v>
      </x:c>
      <x:c r="C65" s="34" t="n">
        <x:v>1752286</x:v>
      </x:c>
      <x:c r="D65" s="36" t="n">
        <x:v>525.14</x:v>
      </x:c>
      <x:c r="E65" s="36" t="n">
        <x:v>202.76</x:v>
      </x:c>
      <x:c r="F65" s="34" t="n">
        <x:v>3337</x:v>
      </x:c>
      <x:c r="G65" s="34" t="n">
        <x:v>8642</x:v>
      </x:c>
      <x:c r="H65" s="29" t="str">
        <x:v>Hungary</x:v>
      </x:c>
    </x:row>
    <x:row r="66">
      <x:c r="A66" s="32" t="n">
        <x:v>63</x:v>
      </x:c>
      <x:c r="B66" s="29" t="str">
        <x:v>Chorzów</x:v>
      </x:c>
      <x:c r="C66" s="34" t="n">
        <x:v>108434</x:v>
      </x:c>
      <x:c r="D66" s="36" t="n">
        <x:v>33.24</x:v>
      </x:c>
      <x:c r="E66" s="36" t="n">
        <x:v>12.83</x:v>
      </x:c>
      <x:c r="F66" s="34" t="n">
        <x:v>3262</x:v>
      </x:c>
      <x:c r="G66" s="34" t="n">
        <x:v>8452</x:v>
      </x:c>
      <x:c r="H66" s="29" t="str">
        <x:v>Poland</x:v>
      </x:c>
    </x:row>
    <x:row r="67">
      <x:c r="A67" s="32" t="n">
        <x:v>64</x:v>
      </x:c>
      <x:c r="B67" s="29" t="str">
        <x:v>Gröbenzell</x:v>
      </x:c>
      <x:c r="C67" s="34" t="n">
        <x:v>19967</x:v>
      </x:c>
      <x:c r="D67" s="36" t="n">
        <x:v>6.36</x:v>
      </x:c>
      <x:c r="E67" s="36" t="n">
        <x:v>2.46</x:v>
      </x:c>
      <x:c r="F67" s="34" t="n">
        <x:v>3139</x:v>
      </x:c>
      <x:c r="G67" s="34" t="n">
        <x:v>8117</x:v>
      </x:c>
      <x:c r="H67" s="29" t="str">
        <x:v>Germany</x:v>
      </x:c>
    </x:row>
    <x:row r="68">
      <x:c r="A68" s="32" t="n">
        <x:v>65</x:v>
      </x:c>
      <x:c r="B68" s="29" t="str">
        <x:v>Helsinki</x:v>
      </x:c>
      <x:c r="C68" s="34" t="n">
        <x:v>665558</x:v>
      </x:c>
      <x:c r="D68" s="36" t="n">
        <x:v>213.75</x:v>
      </x:c>
      <x:c r="E68" s="36" t="n">
        <x:v>82.53</x:v>
      </x:c>
      <x:c r="F68" s="34" t="n">
        <x:v>3114</x:v>
      </x:c>
      <x:c r="G68" s="34" t="n">
        <x:v>8064</x:v>
      </x:c>
      <x:c r="H68" s="29" t="str">
        <x:v>Finland</x:v>
      </x:c>
    </x:row>
    <x:row r="69">
      <x:c r="A69" s="32" t="n">
        <x:v>66</x:v>
      </x:c>
      <x:c r="B69" s="29" t="str">
        <x:v>Stuttgart</x:v>
      </x:c>
      <x:c r="C69" s="34" t="n">
        <x:v>634830</x:v>
      </x:c>
      <x:c r="D69" s="36" t="n">
        <x:v>207.33</x:v>
      </x:c>
      <x:c r="E69" s="36" t="n">
        <x:v>80.05</x:v>
      </x:c>
      <x:c r="F69" s="34" t="n">
        <x:v>3062</x:v>
      </x:c>
      <x:c r="G69" s="34" t="n">
        <x:v>7930</x:v>
      </x:c>
      <x:c r="H69" s="29" t="str">
        <x:v>Germany</x:v>
      </x:c>
    </x:row>
    <x:row r="70">
      <x:c r="A70" s="32" t="n">
        <x:v>67</x:v>
      </x:c>
      <x:c r="B70" s="29" t="str">
        <x:v>Herne</x:v>
      </x:c>
      <x:c r="C70" s="34" t="n">
        <x:v>156374</x:v>
      </x:c>
      <x:c r="D70" s="36" t="n">
        <x:v>51.42</x:v>
      </x:c>
      <x:c r="E70" s="36" t="n">
        <x:v>19.85</x:v>
      </x:c>
      <x:c r="F70" s="34" t="n">
        <x:v>3041</x:v>
      </x:c>
      <x:c r="G70" s="34" t="n">
        <x:v>7878</x:v>
      </x:c>
      <x:c r="H70" s="29" t="str">
        <x:v>Germany</x:v>
      </x:c>
    </x:row>
    <x:row r="71">
      <x:c r="A71" s="32" t="n">
        <x:v>68</x:v>
      </x:c>
      <x:c r="B71" s="29" t="str">
        <x:v>Frankfurt am Main</x:v>
      </x:c>
      <x:c r="C71" s="34" t="n">
        <x:v>753056</x:v>
      </x:c>
      <x:c r="D71" s="36" t="n">
        <x:v>248.31</x:v>
      </x:c>
      <x:c r="E71" s="36" t="n">
        <x:v>95.87</x:v>
      </x:c>
      <x:c r="F71" s="34" t="n">
        <x:v>3033</x:v>
      </x:c>
      <x:c r="G71" s="34" t="n">
        <x:v>7855</x:v>
      </x:c>
      <x:c r="H71" s="29" t="str">
        <x:v>Germany</x:v>
      </x:c>
    </x:row>
  </x:sheetData>
  <x:mergeCells>
    <x:mergeCell ref="A1:H1"/>
    <x:mergeCell ref="A2:H2"/>
    <x:mergeCell ref="J3:L3"/>
  </x:mergeCells>
  <x:conditionalFormatting sqref="F4:F71">
    <x:cfRule type="dataBar" priority="1">
      <x:dataBar>
        <x:cfvo type="min"/>
        <x:cfvo type="max"/>
        <x:color rgb="5B9BD5"/>
      </x:dataBar>
      <x:extLst>
        <x:ext xmlns:x14="http://schemas.microsoft.com/office/spreadsheetml/2009/9/main" uri="{B025F937-C7B1-47D3-B67F-A62EFF666E3E}">
          <x14:id>{1F044E1B-2B7B-2614-EF42-79A04294B0E8}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288c2b77de344255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1F044E1B-2B7B-2614-EF42-79A04294B0E8}">
            <x14:dataBar gradient="1">
              <x14:cfvo type="min"/>
              <x14:cfvo type="max"/>
              <x14:fillColor rgb="5B9BD5"/>
            </x14:dataBar>
          </x14:cfRule>
          <xm:sqref>F4:F71</xm:sqref>
        </x14:conditionalFormatting>
      </x14:conditionalFormattings>
    </x:ext>
  </x:extLst>
</x:worksheet>
</file>